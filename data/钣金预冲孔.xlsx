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<sst xmlns="http://schemas.openxmlformats.org/spreadsheetml/2006/main" count="63" uniqueCount="59">
  <si>
    <t>折弯系数-K因子</t>
  </si>
  <si>
    <t>压铆紧固件预冲底孔</t>
  </si>
  <si>
    <t>板厚</t>
  </si>
  <si>
    <t>外系数</t>
  </si>
  <si>
    <t>内系数</t>
  </si>
  <si>
    <t>内R</t>
  </si>
  <si>
    <t>K因子</t>
  </si>
  <si>
    <t>压铆螺母柱</t>
  </si>
  <si>
    <t>涨铆螺母</t>
  </si>
  <si>
    <t>花齿压铆螺母</t>
  </si>
  <si>
    <t>圆头压铆螺钉</t>
  </si>
  <si>
    <t>BSO,BSOS,SOO,SOOS</t>
  </si>
  <si>
    <t>Z,ZS,NZ,NZS</t>
  </si>
  <si>
    <t>S,CLS</t>
  </si>
  <si>
    <t>FH,FHS,FHA</t>
  </si>
  <si>
    <t>M3-(4.2)</t>
  </si>
  <si>
    <t>M3-(5.0)</t>
  </si>
  <si>
    <t>M2，M2.5，M3(4.2)</t>
  </si>
  <si>
    <t>M3-(3.0)</t>
  </si>
  <si>
    <t>3.5M3-(5.4)</t>
  </si>
  <si>
    <t>M4-(6.0)</t>
  </si>
  <si>
    <t>M3.5-(4.75)</t>
  </si>
  <si>
    <t>M4-(4.0)</t>
  </si>
  <si>
    <t>M5-(8.0)</t>
  </si>
  <si>
    <t>M4-(5.4)</t>
  </si>
  <si>
    <t>M5-(5.0)</t>
  </si>
  <si>
    <t>M3P-(7.2)</t>
  </si>
  <si>
    <t>M6-(9.0)</t>
  </si>
  <si>
    <t>M5-(6.4)</t>
  </si>
  <si>
    <t>M6-(6.0)</t>
  </si>
  <si>
    <t>M5-(7.0)</t>
  </si>
  <si>
    <t>M8-(11.0)</t>
  </si>
  <si>
    <t>M6-(8.75)</t>
  </si>
  <si>
    <t>M8-(8.0)</t>
  </si>
  <si>
    <t>M5P-(7.2)</t>
  </si>
  <si>
    <t>M8-(10.5)</t>
  </si>
  <si>
    <t>M10-(14.0)</t>
  </si>
  <si>
    <t>翻边预冲孔</t>
  </si>
  <si>
    <t>M3</t>
  </si>
  <si>
    <t>M4</t>
  </si>
  <si>
    <t>M5,M6</t>
  </si>
  <si>
    <t>攻牙预冲底孔</t>
  </si>
  <si>
    <t>M1</t>
  </si>
  <si>
    <t>M2</t>
  </si>
  <si>
    <t>M2.5</t>
  </si>
  <si>
    <t>M5</t>
  </si>
  <si>
    <t>M6</t>
  </si>
  <si>
    <t>M8</t>
  </si>
  <si>
    <t>M10</t>
  </si>
  <si>
    <t>切削</t>
  </si>
  <si>
    <t>挤牙</t>
  </si>
  <si>
    <t>M12</t>
  </si>
  <si>
    <t>M14</t>
  </si>
  <si>
    <t>M16</t>
  </si>
  <si>
    <t>M18</t>
  </si>
  <si>
    <t>M20</t>
  </si>
  <si>
    <t>M22</t>
  </si>
  <si>
    <t>M24</t>
  </si>
  <si>
    <t>微信公众号JKCAD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</si>
</sst>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3"/>
  <sheetViews>
    <sheetView tabSelected="1" workbookViewId="0">
      <selection activeCell="S30" sqref="S30"/>
    </sheetView>
  </sheetViews>
  <sheetFormatPr defaultColWidth="9" defaultRowHeight="14"/>
  <cols>
    <col min="1" max="1" width="12.1272727272727" customWidth="1"/>
    <col min="2" max="2" width="9" style="1"/>
    <col min="3" max="3" width="8.25454545454545" style="1" customWidth="1"/>
    <col min="4" max="4" width="7.87272727272727" style="1" customWidth="1"/>
    <col min="5" max="5" width="7.37272727272727" style="1" customWidth="1"/>
    <col min="6" max="6" width="8" style="1" customWidth="1"/>
    <col min="7" max="7" width="8.87272727272727" customWidth="1"/>
    <col min="8" max="8" width="9.5" customWidth="1"/>
    <col min="9" max="9" width="12.5" customWidth="1"/>
    <col min="10" max="10" width="17.7545454545455" customWidth="1"/>
    <col min="11" max="11" width="13.1272727272727" customWidth="1"/>
  </cols>
  <sheetData>
    <row r="1" ht="32.25" customHeight="1" spans="2:11">
      <c r="B1" s="2" t="s">
        <v>0</v>
      </c>
      <c r="C1" s="2"/>
      <c r="D1" s="2"/>
      <c r="E1" s="2"/>
      <c r="F1" s="2"/>
      <c r="G1" s="3"/>
      <c r="H1" s="2" t="s">
        <v>1</v>
      </c>
      <c r="I1" s="2"/>
      <c r="J1" s="2"/>
      <c r="K1" s="2"/>
    </row>
    <row r="2" ht="30.75" customHeight="1" spans="2:11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/>
      <c r="I2" s="5" t="s">
        <v>8</v>
      </c>
      <c r="J2" s="5" t="s">
        <v>9</v>
      </c>
      <c r="K2" s="5" t="s">
        <v>10</v>
      </c>
    </row>
    <row r="3" ht="19.5" customHeight="1" spans="2:11">
      <c r="B3" s="6">
        <v>0.5</v>
      </c>
      <c r="C3" s="6">
        <f>B3*1.7</f>
        <v>0.85</v>
      </c>
      <c r="D3" s="6">
        <f>B3*0.4</f>
        <v>0.2</v>
      </c>
      <c r="E3" s="6">
        <v>0.2</v>
      </c>
      <c r="F3" s="7">
        <f>(4*B3+4*E3-2*C3-3.14*E3)/(3.14*B3)</f>
        <v>0.300636942675159</v>
      </c>
      <c r="G3" s="8" t="s">
        <v>11</v>
      </c>
      <c r="H3" s="8"/>
      <c r="I3" s="8" t="s">
        <v>12</v>
      </c>
      <c r="J3" s="8" t="s">
        <v>13</v>
      </c>
      <c r="K3" s="8" t="s">
        <v>14</v>
      </c>
    </row>
    <row r="4" ht="20.1" customHeight="1" spans="2:11">
      <c r="B4" s="9">
        <v>0.8</v>
      </c>
      <c r="C4" s="9">
        <f t="shared" ref="C4:C14" si="0">B4*1.7</f>
        <v>1.36</v>
      </c>
      <c r="D4" s="9">
        <f t="shared" ref="D4:D14" si="1">B4*0.4</f>
        <v>0.32</v>
      </c>
      <c r="E4" s="9">
        <v>0.2</v>
      </c>
      <c r="F4" s="10">
        <f t="shared" ref="F4:F14" si="2">(4*B4+4*E4-2*C4-3.14*E4)/(3.14*B4)</f>
        <v>0.259554140127388</v>
      </c>
      <c r="G4" s="8" t="s">
        <v>15</v>
      </c>
      <c r="H4" s="8"/>
      <c r="I4" s="8" t="s">
        <v>16</v>
      </c>
      <c r="J4" s="18" t="s">
        <v>17</v>
      </c>
      <c r="K4" s="8" t="s">
        <v>18</v>
      </c>
    </row>
    <row r="5" ht="20.1" customHeight="1" spans="2:11">
      <c r="B5" s="11">
        <v>1</v>
      </c>
      <c r="C5" s="6">
        <f t="shared" si="0"/>
        <v>1.7</v>
      </c>
      <c r="D5" s="6">
        <f t="shared" si="1"/>
        <v>0.4</v>
      </c>
      <c r="E5" s="6">
        <v>0.2</v>
      </c>
      <c r="F5" s="7">
        <f t="shared" si="2"/>
        <v>0.245859872611465</v>
      </c>
      <c r="G5" s="8" t="s">
        <v>19</v>
      </c>
      <c r="H5" s="8"/>
      <c r="I5" s="8" t="s">
        <v>20</v>
      </c>
      <c r="J5" s="8" t="s">
        <v>21</v>
      </c>
      <c r="K5" s="8" t="s">
        <v>22</v>
      </c>
    </row>
    <row r="6" ht="20.1" customHeight="1" spans="2:11">
      <c r="B6" s="9">
        <v>1.2</v>
      </c>
      <c r="C6" s="9">
        <v>2</v>
      </c>
      <c r="D6" s="9">
        <f t="shared" si="1"/>
        <v>0.48</v>
      </c>
      <c r="E6" s="9">
        <v>0.5</v>
      </c>
      <c r="F6" s="10">
        <f t="shared" si="2"/>
        <v>0.326433121019108</v>
      </c>
      <c r="G6" s="8" t="s">
        <v>20</v>
      </c>
      <c r="H6" s="8"/>
      <c r="I6" s="8" t="s">
        <v>23</v>
      </c>
      <c r="J6" s="8" t="s">
        <v>24</v>
      </c>
      <c r="K6" s="8" t="s">
        <v>25</v>
      </c>
    </row>
    <row r="7" ht="20.1" customHeight="1" spans="2:11">
      <c r="B7" s="6">
        <v>1.5</v>
      </c>
      <c r="C7" s="6">
        <v>2.5</v>
      </c>
      <c r="D7" s="6">
        <f t="shared" si="1"/>
        <v>0.6</v>
      </c>
      <c r="E7" s="6">
        <v>0.2</v>
      </c>
      <c r="F7" s="7">
        <f t="shared" si="2"/>
        <v>0.248832271762208</v>
      </c>
      <c r="G7" s="8" t="s">
        <v>26</v>
      </c>
      <c r="H7" s="8"/>
      <c r="I7" s="8" t="s">
        <v>27</v>
      </c>
      <c r="J7" s="8" t="s">
        <v>28</v>
      </c>
      <c r="K7" s="8" t="s">
        <v>29</v>
      </c>
    </row>
    <row r="8" ht="20.1" customHeight="1" spans="2:11">
      <c r="B8" s="12">
        <v>2</v>
      </c>
      <c r="C8" s="9">
        <f t="shared" si="0"/>
        <v>3.4</v>
      </c>
      <c r="D8" s="9">
        <f t="shared" si="1"/>
        <v>0.8</v>
      </c>
      <c r="E8" s="9">
        <v>0.2</v>
      </c>
      <c r="F8" s="10">
        <f t="shared" si="2"/>
        <v>0.218471337579618</v>
      </c>
      <c r="G8" s="8" t="s">
        <v>30</v>
      </c>
      <c r="H8" s="8"/>
      <c r="I8" s="8" t="s">
        <v>31</v>
      </c>
      <c r="J8" s="8" t="s">
        <v>32</v>
      </c>
      <c r="K8" s="8" t="s">
        <v>33</v>
      </c>
    </row>
    <row r="9" ht="20.1" customHeight="1" spans="2:11">
      <c r="B9" s="6">
        <v>2.5</v>
      </c>
      <c r="C9" s="6">
        <v>4.2</v>
      </c>
      <c r="D9" s="6">
        <f t="shared" si="1"/>
        <v>1</v>
      </c>
      <c r="E9" s="6">
        <v>0.2</v>
      </c>
      <c r="F9" s="7">
        <f t="shared" si="2"/>
        <v>0.225732484076433</v>
      </c>
      <c r="G9" s="8" t="s">
        <v>34</v>
      </c>
      <c r="H9" s="8"/>
      <c r="I9" s="18"/>
      <c r="J9" s="8" t="s">
        <v>35</v>
      </c>
      <c r="K9" s="18"/>
    </row>
    <row r="10" ht="20.1" customHeight="1" spans="2:11">
      <c r="B10" s="12">
        <v>3</v>
      </c>
      <c r="C10" s="9">
        <f t="shared" si="0"/>
        <v>5.1</v>
      </c>
      <c r="D10" s="9">
        <f t="shared" si="1"/>
        <v>1.2</v>
      </c>
      <c r="E10" s="9">
        <v>0.2</v>
      </c>
      <c r="F10" s="10">
        <f t="shared" si="2"/>
        <v>0.209341825902336</v>
      </c>
      <c r="G10" s="8" t="s">
        <v>32</v>
      </c>
      <c r="H10" s="8"/>
      <c r="I10" s="18"/>
      <c r="J10" s="8" t="s">
        <v>36</v>
      </c>
      <c r="K10" s="18"/>
    </row>
    <row r="11" ht="20.1" customHeight="1" spans="2:11">
      <c r="B11" s="11">
        <v>4</v>
      </c>
      <c r="C11" s="6">
        <f t="shared" si="0"/>
        <v>6.8</v>
      </c>
      <c r="D11" s="6">
        <f t="shared" si="1"/>
        <v>1.6</v>
      </c>
      <c r="E11" s="6">
        <v>0.2</v>
      </c>
      <c r="F11" s="7">
        <f t="shared" si="2"/>
        <v>0.204777070063694</v>
      </c>
      <c r="G11" s="3"/>
      <c r="H11" s="13" t="s">
        <v>37</v>
      </c>
      <c r="I11" s="13"/>
      <c r="J11" s="3"/>
      <c r="K11" s="3"/>
    </row>
    <row r="12" ht="20.1" customHeight="1" spans="2:11">
      <c r="B12" s="9">
        <v>4.5</v>
      </c>
      <c r="C12" s="9">
        <v>7.6</v>
      </c>
      <c r="D12" s="9">
        <f t="shared" si="1"/>
        <v>1.8</v>
      </c>
      <c r="E12" s="9">
        <v>0.2</v>
      </c>
      <c r="F12" s="10">
        <f t="shared" si="2"/>
        <v>0.21033262561925</v>
      </c>
      <c r="G12" s="3"/>
      <c r="H12" s="14" t="s">
        <v>38</v>
      </c>
      <c r="I12" s="6">
        <v>1.3</v>
      </c>
      <c r="J12" s="3"/>
      <c r="K12" s="3"/>
    </row>
    <row r="13" ht="20.1" customHeight="1" spans="2:11">
      <c r="B13" s="11">
        <v>5</v>
      </c>
      <c r="C13" s="6">
        <f t="shared" si="0"/>
        <v>8.5</v>
      </c>
      <c r="D13" s="6">
        <f t="shared" si="1"/>
        <v>2</v>
      </c>
      <c r="E13" s="6">
        <v>0.2</v>
      </c>
      <c r="F13" s="7">
        <f t="shared" si="2"/>
        <v>0.20203821656051</v>
      </c>
      <c r="G13" s="3"/>
      <c r="H13" s="14" t="s">
        <v>39</v>
      </c>
      <c r="I13" s="11">
        <v>2</v>
      </c>
      <c r="J13" s="3"/>
      <c r="K13" s="3"/>
    </row>
    <row r="14" ht="20.1" customHeight="1" spans="2:11">
      <c r="B14" s="12">
        <v>6</v>
      </c>
      <c r="C14" s="9">
        <f t="shared" si="0"/>
        <v>10.2</v>
      </c>
      <c r="D14" s="9">
        <f t="shared" si="1"/>
        <v>2.4</v>
      </c>
      <c r="E14" s="9">
        <v>0.2</v>
      </c>
      <c r="F14" s="10">
        <f t="shared" si="2"/>
        <v>0.200212314225053</v>
      </c>
      <c r="G14" s="3"/>
      <c r="H14" s="14" t="s">
        <v>40</v>
      </c>
      <c r="I14" s="11">
        <v>3</v>
      </c>
      <c r="J14" s="3"/>
      <c r="K14" s="3"/>
    </row>
    <row r="15" ht="20.1" customHeight="1" spans="2:11">
      <c r="B15" s="2" t="s">
        <v>41</v>
      </c>
      <c r="C15" s="2"/>
      <c r="D15" s="2"/>
      <c r="E15" s="2"/>
      <c r="F15" s="2"/>
      <c r="G15" s="2"/>
      <c r="H15" s="2"/>
      <c r="I15" s="2"/>
      <c r="J15" s="2"/>
      <c r="K15" s="2"/>
    </row>
    <row r="16" ht="20.1" customHeight="1" spans="2:11">
      <c r="B16" s="9"/>
      <c r="C16" s="15" t="s">
        <v>42</v>
      </c>
      <c r="D16" s="15" t="s">
        <v>43</v>
      </c>
      <c r="E16" s="15" t="s">
        <v>44</v>
      </c>
      <c r="F16" s="15" t="s">
        <v>38</v>
      </c>
      <c r="G16" s="15" t="s">
        <v>39</v>
      </c>
      <c r="H16" s="15" t="s">
        <v>45</v>
      </c>
      <c r="I16" s="15" t="s">
        <v>46</v>
      </c>
      <c r="J16" s="15" t="s">
        <v>47</v>
      </c>
      <c r="K16" s="15" t="s">
        <v>48</v>
      </c>
    </row>
    <row r="17" ht="20.1" customHeight="1" spans="2:11">
      <c r="B17" s="4" t="s">
        <v>49</v>
      </c>
      <c r="C17" s="9">
        <v>0.75</v>
      </c>
      <c r="D17" s="9">
        <v>1.6</v>
      </c>
      <c r="E17" s="9">
        <v>2.1</v>
      </c>
      <c r="F17" s="9">
        <v>2.5</v>
      </c>
      <c r="G17" s="9">
        <v>3.3</v>
      </c>
      <c r="H17" s="9">
        <v>4.2</v>
      </c>
      <c r="I17" s="9">
        <v>5</v>
      </c>
      <c r="J17" s="9">
        <v>6.75</v>
      </c>
      <c r="K17" s="9">
        <v>8.5</v>
      </c>
    </row>
    <row r="18" ht="20.1" customHeight="1" spans="2:11">
      <c r="B18" s="4" t="s">
        <v>50</v>
      </c>
      <c r="C18" s="9">
        <v>0.89</v>
      </c>
      <c r="D18" s="9">
        <v>1.79</v>
      </c>
      <c r="E18" s="9">
        <v>2.25</v>
      </c>
      <c r="F18" s="9">
        <v>2.75</v>
      </c>
      <c r="G18" s="9">
        <v>3.65</v>
      </c>
      <c r="H18" s="9">
        <v>4.59</v>
      </c>
      <c r="I18" s="9">
        <v>5.59</v>
      </c>
      <c r="J18" s="9">
        <v>7.36</v>
      </c>
      <c r="K18" s="9">
        <v>9.35</v>
      </c>
    </row>
    <row r="19" ht="4.5" customHeight="1" spans="2:11">
      <c r="B19" s="16"/>
      <c r="C19" s="16"/>
      <c r="D19" s="16"/>
      <c r="E19" s="16"/>
      <c r="F19" s="16"/>
      <c r="G19" s="17"/>
      <c r="H19" s="17"/>
      <c r="I19" s="17"/>
      <c r="J19" s="17"/>
      <c r="K19" s="17"/>
    </row>
    <row r="20" ht="20.1" customHeight="1" spans="2:11">
      <c r="B20" s="9"/>
      <c r="C20" s="15" t="s">
        <v>51</v>
      </c>
      <c r="D20" s="15" t="s">
        <v>52</v>
      </c>
      <c r="E20" s="15" t="s">
        <v>53</v>
      </c>
      <c r="F20" s="15" t="s">
        <v>54</v>
      </c>
      <c r="G20" s="15" t="s">
        <v>55</v>
      </c>
      <c r="H20" s="15" t="s">
        <v>56</v>
      </c>
      <c r="I20" s="15" t="s">
        <v>57</v>
      </c>
      <c r="J20" s="3"/>
      <c r="K20" s="3"/>
    </row>
    <row r="21" ht="20.1" customHeight="1" spans="2:11">
      <c r="B21" s="9"/>
      <c r="C21" s="9">
        <v>10.2</v>
      </c>
      <c r="D21" s="9">
        <v>12</v>
      </c>
      <c r="E21" s="9">
        <v>14</v>
      </c>
      <c r="F21" s="9">
        <v>15.5</v>
      </c>
      <c r="G21" s="9">
        <v>17.5</v>
      </c>
      <c r="H21" s="9">
        <v>19.5</v>
      </c>
      <c r="I21" s="9">
        <v>21</v>
      </c>
      <c r="J21" s="3"/>
      <c r="K21" s="3"/>
    </row>
    <row r="22" ht="20.1" customHeight="1" spans="2:11">
      <c r="B22" s="9"/>
      <c r="C22" s="9"/>
      <c r="D22" s="9"/>
      <c r="E22" s="9"/>
      <c r="F22" s="9"/>
      <c r="G22" s="3"/>
      <c r="H22" s="3"/>
      <c r="I22" s="3"/>
      <c r="J22" s="3"/>
      <c r="K22" s="3"/>
    </row>
    <row r="23" spans="2:11">
      <c r="B23" s="1" t="s">
        <v>58</v>
      </c>
      <c r="G23" s="1"/>
      <c r="H23" s="1"/>
      <c r="I23" s="1"/>
      <c r="J23" s="1"/>
      <c r="K23" s="1"/>
    </row>
  </sheetData>
  <mergeCells count="14">
    <mergeCell ref="B1:F1"/>
    <mergeCell ref="H1:K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H11:I11"/>
    <mergeCell ref="B15:K15"/>
    <mergeCell ref="B23:K23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小丑</cp:lastModifiedBy>
  <dcterms:created xsi:type="dcterms:W3CDTF">2020-05-05T03:42:00Z</dcterms:created>
  <cp:lastPrinted>2020-05-05T07:04:00Z</cp:lastPrinted>
  <dcterms:modified xsi:type="dcterms:W3CDTF">2022-06-22T11:53:02Z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329B6360B3FA41248A20DC5962BB9E63</vt:lpwstr>
  </property>
  <property fmtid="{D5CDD505-2E9C-101B-9397-08002B2CF9AE}" pid="3" name="KSOProductBuildVer">
    <vt:lpwstr>2052-11.1.0.11830</vt:lpwstr>
  </property>
</Properties>
</file>